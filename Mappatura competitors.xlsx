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2" sheetId="1" r:id="rId5"/>
    <sheet state="visible" name="Foglio3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">
      <text>
        <t xml:space="preserve">Somma fasce = le società di capitale che hanno un fatturato depositato, cioè quelle che cadono in una delle 11 fasce.</t>
      </text>
    </comment>
    <comment authorId="0" ref="N2">
      <text>
        <t xml:space="preserve">TOT capitale = tutte le società di capitale, lette col filtro "Classe Forma Giuridica = capitale".</t>
      </text>
    </comment>
    <comment authorId="0" ref="O2">
      <text>
        <t xml:space="preserve">Cap. senza bilancio = TOT capitale − Somma fasce. Sono le società di capitale che non hanno un fatturato depositato (tipicamente SRL appena nate o che non hanno ancora depositato il bilancio), quindi non entrano in nessuna fascia.</t>
      </text>
    </comment>
    <comment authorId="0" ref="P2">
      <text>
        <t xml:space="preserve">TOT completo = tutte le imprese attive del nucleo nella regione, ogni forma giuridica messa insieme (capitali + società di persone + ditte individuali).</t>
      </text>
    </comment>
    <comment authorId="0" ref="Q2">
      <text>
        <t xml:space="preserve">Sono le imprese non di capitale: società di persone (SNC, SAS) e ditte individuali. Non depositano bilancio</t>
      </text>
    </comment>
    <comment authorId="0" ref="R2">
      <text>
        <t xml:space="preserve">% capitale = TOT capitale / TOT completo. La quota del mercato regionale fatta da società di capitale, cioè quanto del mercato è visibile a bilancio.</t>
      </text>
    </comment>
    <comment authorId="0" ref="S2">
      <text>
        <t xml:space="preserve">TOT compl. prim+sec: numero totale di imprese attive del nucleo (74.99.21 + 74.99.29) nella regione, lette spuntando Attività prevalente, primaria E secondaria, senza filtro forma né fatturato. Include quindi anche chi dichiara la sicurezza come attività secondaria. </t>
      </text>
    </comment>
    <comment authorId="0" ref="T2">
      <text>
        <t xml:space="preserve">Sommerso: numero di studi che emergono solo includendo i secondari, cioè che fanno sicurezza pur essendo iscritti primariamente sotto un altro codice. Calcolata come TOT compl. prim+sec − TOT completo (primario).</t>
      </text>
    </comment>
    <comment authorId="0" ref="U2">
      <text>
        <t xml:space="preserve">% sommerso: quanto è grande il sommerso rispetto al mercato ufficiale primario. Calcolata come Sommerso / TOT completo (primario). Una percentuale alta indica che molti operatori reali stanno nascosti sotto codici diversi dalla sicurezza.</t>
      </text>
    </comment>
    <comment authorId="0" ref="V2">
      <text>
        <t xml:space="preserve">Numero imprese CON DIPENDENTI</t>
      </text>
    </comment>
    <comment authorId="0" ref="W2">
      <text>
        <t xml:space="preserve">la densità è il numero di studi di consulenza sicurezza ogni 1.000 imprese attive della regione. Misura quanto il mercato è presidiato rispetto al tessuto di imprese: valore alto significa molti studi per impresa, cioè mercato affollato; valore basso significa pochi studi rispetto alle imprese, cioè più spazio potenziale. </t>
      </text>
    </comment>
    <comment authorId="0" ref="X2">
      <text>
        <t xml:space="preserve">la densità è il numero di studi di consulenza sicurezza ogni 1.000 imprese attive della regione. Misura quanto il mercato è presidiato rispetto al tessuto di imprese: valore alto significa molti studi per impresa, cioè mercato affollato; valore basso significa pochi studi rispetto alle imprese, cioè più spazio potenziale. </t>
      </text>
    </comment>
    <comment authorId="0" ref="Y2">
      <text>
        <t xml:space="preserve">Gli addetti sono il numero totale di persone che lavorano nelle imprese, come media annua: comprende sia i dipendenti (lavoratori subordinati) sia gli indipendenti (titolare, soci, coadiuvanti familiari). Quindi addetti è sempre maggiore o uguale ai dipendenti.</t>
      </text>
    </comment>
    <comment authorId="0" ref="Z2">
      <text>
        <t xml:space="preserve">copertura sul volume di lavoratori da tutelare</t>
      </text>
    </comment>
    <comment authorId="0" ref="AA2">
      <text>
        <t xml:space="preserve">la densità è il numero di studi di consulenza sicurezza ogni 1.000 imprese attive della regione. Misura quanto il mercato è presidiato rispetto al tessuto di imprese: valore alto significa molti studi per impresa, cioè mercato affollato; valore basso significa pochi studi rispetto alle imprese, cioè più spazio potenziale. </t>
      </text>
    </comment>
  </commentList>
</comments>
</file>

<file path=xl/sharedStrings.xml><?xml version="1.0" encoding="utf-8"?>
<sst xmlns="http://schemas.openxmlformats.org/spreadsheetml/2006/main" count="80" uniqueCount="56">
  <si>
    <t>COORTE FONDATA 1990-1999 (filtro Data iscrizione 01/01/1990 - 31/12/1999)</t>
  </si>
  <si>
    <t>FASCE DI FATTURATO € (solo società di capitale - solo principale e primario)</t>
  </si>
  <si>
    <t>Regione</t>
  </si>
  <si>
    <t>TOTALI E DERIVATI</t>
  </si>
  <si>
    <t>TOT completo (1990-99)</t>
  </si>
  <si>
    <t>TOT capitale (1990-99)</t>
  </si>
  <si>
    <t>% su totale regione</t>
  </si>
  <si>
    <t>Friuli-Venezia Giulia</t>
  </si>
  <si>
    <t>0.0%</t>
  </si>
  <si>
    <t>&lt;10.000</t>
  </si>
  <si>
    <t>10.000-14.999</t>
  </si>
  <si>
    <t>Veneto</t>
  </si>
  <si>
    <t>15.000-24.999</t>
  </si>
  <si>
    <t>25.000-49.999</t>
  </si>
  <si>
    <t>50.000-74.999</t>
  </si>
  <si>
    <t>75.000-99.999</t>
  </si>
  <si>
    <t>Trentino-Alto Adige</t>
  </si>
  <si>
    <t>100.000-149.999</t>
  </si>
  <si>
    <t>150.000-499.999</t>
  </si>
  <si>
    <t>500.000-1.499.999</t>
  </si>
  <si>
    <t>1.500.000-4.999.999</t>
  </si>
  <si>
    <t>&gt;5.000.000</t>
  </si>
  <si>
    <t>Emilia-Romagna</t>
  </si>
  <si>
    <t>Somma fasce</t>
  </si>
  <si>
    <t>TOT capitale</t>
  </si>
  <si>
    <t>Lombardia</t>
  </si>
  <si>
    <t>Cap. senza bilancio</t>
  </si>
  <si>
    <t>TOT completo</t>
  </si>
  <si>
    <t>Piemonte</t>
  </si>
  <si>
    <t>TOT persona/indiv.</t>
  </si>
  <si>
    <t>% capitale</t>
  </si>
  <si>
    <t>TOT compl. prim+sec</t>
  </si>
  <si>
    <t>Liguria</t>
  </si>
  <si>
    <t>Sommerso</t>
  </si>
  <si>
    <t>% sommerso</t>
  </si>
  <si>
    <t>Nr. imprese</t>
  </si>
  <si>
    <t>Densità (studi prim per 1.000 imp)</t>
  </si>
  <si>
    <t>Toscana</t>
  </si>
  <si>
    <t>Densità (studi prim+sec per 1.000 imp)</t>
  </si>
  <si>
    <t>Numero addetti</t>
  </si>
  <si>
    <t>Densità (studi prim per 1.000 addetti)</t>
  </si>
  <si>
    <t>Densità (studi prim+sec per 1.000 addetti)</t>
  </si>
  <si>
    <t>Lazio</t>
  </si>
  <si>
    <t>Marche</t>
  </si>
  <si>
    <t>Umbria</t>
  </si>
  <si>
    <t>Abruzzo</t>
  </si>
  <si>
    <t>Campania</t>
  </si>
  <si>
    <t>Puglia</t>
  </si>
  <si>
    <t>Molise</t>
  </si>
  <si>
    <t>Basilicata</t>
  </si>
  <si>
    <t>Calabria</t>
  </si>
  <si>
    <t>Sicilia</t>
  </si>
  <si>
    <t>Sardegna</t>
  </si>
  <si>
    <t>Valle d'Aosta</t>
  </si>
  <si>
    <t>TOTALE ITALIA</t>
  </si>
  <si>
    <t>registrate solo persona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</si>
</sst>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Calibri"/>
    </font>
    <font>
      <b/>
      <color rgb="FFFFFFFF"/>
      <name val="Arial"/>
    </font>
    <font/>
    <font>
      <color theme="1"/>
      <name val="Arial"/>
    </font>
    <font>
      <color rgb="FF000000"/>
      <name val="Arial"/>
    </font>
    <font>
      <color theme="1"/>
      <name val="Arial"/>
      <scheme val="minor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0392B"/>
        <bgColor rgb="FFC0392B"/>
      </patternFill>
    </fill>
    <fill>
      <patternFill patternType="solid">
        <fgColor rgb="FF34495E"/>
        <bgColor rgb="FF34495E"/>
      </patternFill>
    </fill>
    <fill>
      <patternFill patternType="solid">
        <fgColor rgb="FFFFF2CC"/>
        <bgColor rgb="FFFFF2CC"/>
      </patternFill>
    </fill>
    <fill>
      <patternFill patternType="solid">
        <fgColor rgb="FFEAECEE"/>
        <bgColor rgb="FFEAECEE"/>
      </patternFill>
    </fill>
    <fill>
      <patternFill patternType="solid">
        <fgColor rgb="FFD5DBDB"/>
        <bgColor rgb="FFD5DBDB"/>
      </patternFill>
    </fill>
  </fills>
  <borders count="5">
    <border/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1" fillId="3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left" readingOrder="0" shrinkToFit="0" wrapText="0"/>
    </xf>
    <xf borderId="0" fillId="3" fontId="2" numFmtId="0" xfId="0" applyAlignment="1" applyFont="1">
      <alignment horizontal="center" readingOrder="0"/>
    </xf>
    <xf borderId="4" fillId="4" fontId="4" numFmtId="0" xfId="0" applyAlignment="1" applyBorder="1" applyFill="1" applyFont="1">
      <alignment shrinkToFit="0" vertical="bottom" wrapText="0"/>
    </xf>
    <xf borderId="4" fillId="2" fontId="2" numFmtId="0" xfId="0" applyAlignment="1" applyBorder="1" applyFont="1">
      <alignment horizontal="center" readingOrder="0" shrinkToFit="0" wrapText="1"/>
    </xf>
    <xf borderId="4" fillId="5" fontId="5" numFmtId="0" xfId="0" applyAlignment="1" applyBorder="1" applyFill="1" applyFont="1">
      <alignment horizontal="right" readingOrder="0" shrinkToFit="0" vertical="bottom" wrapText="0"/>
    </xf>
    <xf borderId="4" fillId="5" fontId="5" numFmtId="0" xfId="0" applyAlignment="1" applyBorder="1" applyFont="1">
      <alignment shrinkToFit="0" vertical="bottom" wrapText="0"/>
    </xf>
    <xf borderId="0" fillId="2" fontId="2" numFmtId="0" xfId="0" applyAlignment="1" applyFont="1">
      <alignment horizontal="center" readingOrder="0" shrinkToFit="0" wrapText="1"/>
    </xf>
    <xf borderId="0" fillId="0" fontId="6" numFmtId="0" xfId="0" applyAlignment="1" applyFont="1">
      <alignment shrinkToFit="0" wrapText="1"/>
    </xf>
    <xf borderId="4" fillId="4" fontId="4" numFmtId="0" xfId="0" applyAlignment="1" applyBorder="1" applyFont="1">
      <alignment horizontal="right" readingOrder="0" shrinkToFit="0" vertical="bottom" wrapText="0"/>
    </xf>
    <xf borderId="4" fillId="5" fontId="5" numFmtId="10" xfId="0" applyAlignment="1" applyBorder="1" applyFont="1" applyNumberFormat="1">
      <alignment horizontal="right" readingOrder="0" shrinkToFit="0" vertical="bottom" wrapText="0"/>
    </xf>
    <xf borderId="0" fillId="5" fontId="5" numFmtId="3" xfId="0" applyAlignment="1" applyFont="1" applyNumberFormat="1">
      <alignment horizontal="right" readingOrder="0" shrinkToFit="0" vertical="bottom" wrapText="0"/>
    </xf>
    <xf borderId="0" fillId="5" fontId="5" numFmtId="10" xfId="0" applyAlignment="1" applyFont="1" applyNumberFormat="1">
      <alignment horizontal="right" readingOrder="0" shrinkToFit="0" vertical="bottom" wrapText="0"/>
    </xf>
    <xf borderId="0" fillId="5" fontId="5" numFmtId="4" xfId="0" applyAlignment="1" applyFont="1" applyNumberFormat="1">
      <alignment horizontal="right" readingOrder="0" shrinkToFit="0" vertical="bottom" wrapText="0"/>
    </xf>
    <xf borderId="0" fillId="4" fontId="5" numFmtId="4" xfId="0" applyAlignment="1" applyFont="1" applyNumberFormat="1">
      <alignment horizontal="right" readingOrder="0" shrinkToFit="0" vertical="bottom" wrapText="0"/>
    </xf>
    <xf borderId="4" fillId="6" fontId="7" numFmtId="0" xfId="0" applyAlignment="1" applyBorder="1" applyFill="1" applyFont="1">
      <alignment readingOrder="0" shrinkToFit="0" vertical="bottom" wrapText="0"/>
    </xf>
    <xf borderId="4" fillId="4" fontId="4" numFmtId="0" xfId="0" applyAlignment="1" applyBorder="1" applyFont="1">
      <alignment shrinkToFit="0" vertical="bottom" wrapText="0"/>
    </xf>
    <xf borderId="4" fillId="6" fontId="7" numFmtId="0" xfId="0" applyAlignment="1" applyBorder="1" applyFont="1">
      <alignment horizontal="right" readingOrder="0" shrinkToFit="0" vertical="bottom" wrapText="0"/>
    </xf>
    <xf borderId="4" fillId="4" fontId="4" numFmtId="0" xfId="0" applyAlignment="1" applyBorder="1" applyFont="1">
      <alignment readingOrder="0" shrinkToFit="0" vertical="bottom" wrapText="0"/>
    </xf>
    <xf borderId="4" fillId="6" fontId="7" numFmtId="10" xfId="0" applyAlignment="1" applyBorder="1" applyFont="1" applyNumberFormat="1">
      <alignment horizontal="right" readingOrder="0" shrinkToFit="0" vertical="bottom" wrapText="0"/>
    </xf>
    <xf borderId="4" fillId="6" fontId="7" numFmtId="3" xfId="0" applyAlignment="1" applyBorder="1" applyFont="1" applyNumberFormat="1">
      <alignment horizontal="right" readingOrder="0" shrinkToFit="0" vertical="bottom" wrapText="0"/>
    </xf>
    <xf borderId="0" fillId="6" fontId="7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25"/>
    <col customWidth="1" min="15" max="15" width="16.38"/>
    <col customWidth="1" min="17" max="17" width="16.5"/>
    <col customWidth="1" min="19" max="19" width="19.75"/>
    <col customWidth="1" min="22" max="22" width="14.13"/>
    <col customWidth="1" min="23" max="23" width="28.0"/>
    <col customWidth="1" min="24" max="24" width="21.0"/>
    <col customWidth="1" min="25" max="25" width="22.38"/>
    <col customWidth="1" min="26" max="26" width="29.13"/>
    <col customWidth="1" min="27" max="27" width="32.5"/>
  </cols>
  <sheetData>
    <row r="1">
      <c r="A1" s="1"/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4"/>
      <c r="M1" s="2" t="s">
        <v>3</v>
      </c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7"/>
      <c r="Z1" s="7"/>
      <c r="AA1" s="7"/>
    </row>
    <row r="2">
      <c r="A2" s="9" t="s">
        <v>2</v>
      </c>
      <c r="B2" s="9" t="s">
        <v>9</v>
      </c>
      <c r="C2" s="9" t="s">
        <v>10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17</v>
      </c>
      <c r="I2" s="9" t="s">
        <v>18</v>
      </c>
      <c r="J2" s="9" t="s">
        <v>19</v>
      </c>
      <c r="K2" s="9" t="s">
        <v>20</v>
      </c>
      <c r="L2" s="9" t="s">
        <v>21</v>
      </c>
      <c r="M2" s="9" t="s">
        <v>23</v>
      </c>
      <c r="N2" s="9" t="s">
        <v>24</v>
      </c>
      <c r="O2" s="9" t="s">
        <v>26</v>
      </c>
      <c r="P2" s="9" t="s">
        <v>27</v>
      </c>
      <c r="Q2" s="9" t="s">
        <v>29</v>
      </c>
      <c r="R2" s="9" t="s">
        <v>30</v>
      </c>
      <c r="S2" s="12" t="s">
        <v>31</v>
      </c>
      <c r="T2" s="12" t="s">
        <v>33</v>
      </c>
      <c r="U2" s="12" t="s">
        <v>34</v>
      </c>
      <c r="V2" s="12" t="s">
        <v>35</v>
      </c>
      <c r="W2" s="12" t="s">
        <v>36</v>
      </c>
      <c r="X2" s="12" t="s">
        <v>38</v>
      </c>
      <c r="Y2" s="12" t="s">
        <v>39</v>
      </c>
      <c r="Z2" s="12" t="s">
        <v>40</v>
      </c>
      <c r="AA2" s="12" t="s">
        <v>41</v>
      </c>
      <c r="AB2" s="13"/>
      <c r="AC2" s="13"/>
      <c r="AD2" s="13"/>
      <c r="AE2" s="13"/>
      <c r="AF2" s="13"/>
      <c r="AG2" s="13"/>
    </row>
    <row r="3">
      <c r="A3" s="6" t="s">
        <v>7</v>
      </c>
      <c r="B3" s="8">
        <v>6.0</v>
      </c>
      <c r="C3" s="8">
        <v>0.0</v>
      </c>
      <c r="D3" s="8">
        <v>3.0</v>
      </c>
      <c r="E3" s="8">
        <v>5.0</v>
      </c>
      <c r="F3" s="8">
        <v>1.0</v>
      </c>
      <c r="G3" s="8">
        <v>2.0</v>
      </c>
      <c r="H3" s="8">
        <v>4.0</v>
      </c>
      <c r="I3" s="8">
        <v>25.0</v>
      </c>
      <c r="J3" s="8">
        <v>20.0</v>
      </c>
      <c r="K3" s="8">
        <v>4.0</v>
      </c>
      <c r="L3" s="8">
        <v>3.0</v>
      </c>
      <c r="M3" s="10">
        <f t="shared" ref="M3:M22" si="1">SUM(B3:L3)</f>
        <v>73</v>
      </c>
      <c r="N3" s="14">
        <v>76.0</v>
      </c>
      <c r="O3" s="10">
        <f t="shared" ref="O3:O22" si="2">N3-M3</f>
        <v>3</v>
      </c>
      <c r="P3" s="14">
        <v>117.0</v>
      </c>
      <c r="Q3" s="10">
        <f t="shared" ref="Q3:Q22" si="3">P3-N3</f>
        <v>41</v>
      </c>
      <c r="R3" s="15">
        <f t="shared" ref="R3:R22" si="4">N3/P3</f>
        <v>0.6495726496</v>
      </c>
      <c r="S3" s="14">
        <v>237.0</v>
      </c>
      <c r="T3" s="16">
        <f t="shared" ref="T3:T22" si="5">S3-P3</f>
        <v>120</v>
      </c>
      <c r="U3" s="17">
        <f t="shared" ref="U3:U22" si="6">T3/P3</f>
        <v>1.025641026</v>
      </c>
      <c r="V3" s="14">
        <v>27973.0</v>
      </c>
      <c r="W3" s="18">
        <f t="shared" ref="W3:W22" si="7">P3/V3*1000</f>
        <v>4.182604654</v>
      </c>
      <c r="X3" s="18">
        <f t="shared" ref="X3:X22" si="8">S3/V3*1000</f>
        <v>8.472455582</v>
      </c>
      <c r="Y3" s="19">
        <v>317950.0</v>
      </c>
      <c r="Z3" s="18">
        <f t="shared" ref="Z3:Z23" si="9">P3/Y3*1000</f>
        <v>0.3679823872</v>
      </c>
      <c r="AA3" s="18">
        <f t="shared" ref="AA3:AA23" si="10">S3/Y3*1000</f>
        <v>0.7454002202</v>
      </c>
    </row>
    <row r="4">
      <c r="A4" s="6" t="s">
        <v>11</v>
      </c>
      <c r="B4" s="21">
        <v>19.0</v>
      </c>
      <c r="C4" s="21">
        <v>4.0</v>
      </c>
      <c r="D4" s="21">
        <v>2.0</v>
      </c>
      <c r="E4" s="21">
        <v>21.0</v>
      </c>
      <c r="F4" s="21">
        <v>15.0</v>
      </c>
      <c r="G4" s="21">
        <v>11.0</v>
      </c>
      <c r="H4" s="21">
        <v>36.0</v>
      </c>
      <c r="I4" s="21">
        <v>113.0</v>
      </c>
      <c r="J4" s="21">
        <v>67.0</v>
      </c>
      <c r="K4" s="21">
        <v>26.0</v>
      </c>
      <c r="L4" s="21">
        <v>4.0</v>
      </c>
      <c r="M4" s="10">
        <f t="shared" si="1"/>
        <v>318</v>
      </c>
      <c r="N4" s="14">
        <v>353.0</v>
      </c>
      <c r="O4" s="10">
        <f t="shared" si="2"/>
        <v>35</v>
      </c>
      <c r="P4" s="14">
        <v>507.0</v>
      </c>
      <c r="Q4" s="10">
        <f t="shared" si="3"/>
        <v>154</v>
      </c>
      <c r="R4" s="15">
        <f t="shared" si="4"/>
        <v>0.6962524655</v>
      </c>
      <c r="S4" s="14">
        <v>1008.0</v>
      </c>
      <c r="T4" s="16">
        <f t="shared" si="5"/>
        <v>501</v>
      </c>
      <c r="U4" s="17">
        <f t="shared" si="6"/>
        <v>0.9881656805</v>
      </c>
      <c r="V4" s="14">
        <v>136036.0</v>
      </c>
      <c r="W4" s="18">
        <f t="shared" si="7"/>
        <v>3.72695463</v>
      </c>
      <c r="X4" s="18">
        <f t="shared" si="8"/>
        <v>7.409803287</v>
      </c>
      <c r="Y4" s="19">
        <v>1530483.0</v>
      </c>
      <c r="Z4" s="18">
        <f t="shared" si="9"/>
        <v>0.3312679723</v>
      </c>
      <c r="AA4" s="18">
        <f t="shared" si="10"/>
        <v>0.6586156135</v>
      </c>
    </row>
    <row r="5">
      <c r="A5" s="6" t="s">
        <v>16</v>
      </c>
      <c r="B5" s="21">
        <v>2.0</v>
      </c>
      <c r="C5" s="21">
        <v>0.0</v>
      </c>
      <c r="D5" s="21">
        <v>0.0</v>
      </c>
      <c r="E5" s="21">
        <v>2.0</v>
      </c>
      <c r="F5" s="21">
        <v>5.0</v>
      </c>
      <c r="G5" s="21">
        <v>1.0</v>
      </c>
      <c r="H5" s="21">
        <v>6.0</v>
      </c>
      <c r="I5" s="21">
        <v>19.0</v>
      </c>
      <c r="J5" s="21">
        <v>10.0</v>
      </c>
      <c r="K5" s="21">
        <v>11.0</v>
      </c>
      <c r="L5" s="21">
        <v>1.0</v>
      </c>
      <c r="M5" s="10">
        <f t="shared" si="1"/>
        <v>57</v>
      </c>
      <c r="N5" s="23">
        <v>60.0</v>
      </c>
      <c r="O5" s="10">
        <f t="shared" si="2"/>
        <v>3</v>
      </c>
      <c r="P5" s="23">
        <v>83.0</v>
      </c>
      <c r="Q5" s="10">
        <f t="shared" si="3"/>
        <v>23</v>
      </c>
      <c r="R5" s="15">
        <f t="shared" si="4"/>
        <v>0.7228915663</v>
      </c>
      <c r="S5" s="23">
        <v>177.0</v>
      </c>
      <c r="T5" s="16">
        <f t="shared" si="5"/>
        <v>94</v>
      </c>
      <c r="U5" s="17">
        <f t="shared" si="6"/>
        <v>1.13253012</v>
      </c>
      <c r="V5" s="23">
        <v>34343.0</v>
      </c>
      <c r="W5" s="18">
        <f t="shared" si="7"/>
        <v>2.416795271</v>
      </c>
      <c r="X5" s="18">
        <f t="shared" si="8"/>
        <v>5.153888711</v>
      </c>
      <c r="Y5" s="19">
        <v>395578.0</v>
      </c>
      <c r="Z5" s="18">
        <f t="shared" si="9"/>
        <v>0.2098195552</v>
      </c>
      <c r="AA5" s="18">
        <f t="shared" si="10"/>
        <v>0.4474465213</v>
      </c>
    </row>
    <row r="6">
      <c r="A6" s="6" t="s">
        <v>22</v>
      </c>
      <c r="B6" s="21">
        <v>11.0</v>
      </c>
      <c r="C6" s="21">
        <v>1.0</v>
      </c>
      <c r="D6" s="21">
        <v>4.0</v>
      </c>
      <c r="E6" s="21">
        <v>13.0</v>
      </c>
      <c r="F6" s="21">
        <v>16.0</v>
      </c>
      <c r="G6" s="21">
        <v>10.0</v>
      </c>
      <c r="H6" s="21">
        <v>18.0</v>
      </c>
      <c r="I6" s="21">
        <v>82.0</v>
      </c>
      <c r="J6" s="21">
        <v>62.0</v>
      </c>
      <c r="K6" s="21">
        <v>27.0</v>
      </c>
      <c r="L6" s="21">
        <v>4.0</v>
      </c>
      <c r="M6" s="10">
        <f t="shared" si="1"/>
        <v>248</v>
      </c>
      <c r="N6" s="23">
        <v>271.0</v>
      </c>
      <c r="O6" s="10">
        <f t="shared" si="2"/>
        <v>23</v>
      </c>
      <c r="P6" s="23">
        <v>376.0</v>
      </c>
      <c r="Q6" s="10">
        <f t="shared" si="3"/>
        <v>105</v>
      </c>
      <c r="R6" s="15">
        <f t="shared" si="4"/>
        <v>0.7207446809</v>
      </c>
      <c r="S6" s="23">
        <v>731.0</v>
      </c>
      <c r="T6" s="16">
        <f t="shared" si="5"/>
        <v>355</v>
      </c>
      <c r="U6" s="17">
        <f t="shared" si="6"/>
        <v>0.9441489362</v>
      </c>
      <c r="V6" s="23">
        <v>119024.0</v>
      </c>
      <c r="W6" s="18">
        <f t="shared" si="7"/>
        <v>3.159026751</v>
      </c>
      <c r="X6" s="18">
        <f t="shared" si="8"/>
        <v>6.141618497</v>
      </c>
      <c r="Y6" s="19">
        <v>1417526.0</v>
      </c>
      <c r="Z6" s="18">
        <f t="shared" si="9"/>
        <v>0.2652508667</v>
      </c>
      <c r="AA6" s="18">
        <f t="shared" si="10"/>
        <v>0.5156871902</v>
      </c>
    </row>
    <row r="7">
      <c r="A7" s="6" t="s">
        <v>25</v>
      </c>
      <c r="B7" s="21">
        <v>44.0</v>
      </c>
      <c r="C7" s="21">
        <v>8.0</v>
      </c>
      <c r="D7" s="21">
        <v>20.0</v>
      </c>
      <c r="E7" s="21">
        <v>43.0</v>
      </c>
      <c r="F7" s="21">
        <v>37.0</v>
      </c>
      <c r="G7" s="21">
        <v>39.0</v>
      </c>
      <c r="H7" s="21">
        <v>65.0</v>
      </c>
      <c r="I7" s="21">
        <v>322.0</v>
      </c>
      <c r="J7" s="21">
        <v>225.0</v>
      </c>
      <c r="K7" s="21">
        <v>82.0</v>
      </c>
      <c r="L7" s="21">
        <v>14.0</v>
      </c>
      <c r="M7" s="10">
        <f t="shared" si="1"/>
        <v>899</v>
      </c>
      <c r="N7" s="23">
        <v>1040.0</v>
      </c>
      <c r="O7" s="10">
        <f t="shared" si="2"/>
        <v>141</v>
      </c>
      <c r="P7" s="23">
        <v>1405.0</v>
      </c>
      <c r="Q7" s="10">
        <f t="shared" si="3"/>
        <v>365</v>
      </c>
      <c r="R7" s="15">
        <f t="shared" si="4"/>
        <v>0.7402135231</v>
      </c>
      <c r="S7" s="23">
        <v>2482.0</v>
      </c>
      <c r="T7" s="16">
        <f t="shared" si="5"/>
        <v>1077</v>
      </c>
      <c r="U7" s="17">
        <f t="shared" si="6"/>
        <v>0.7665480427</v>
      </c>
      <c r="V7" s="23">
        <v>271028.0</v>
      </c>
      <c r="W7" s="18">
        <f t="shared" si="7"/>
        <v>5.183966232</v>
      </c>
      <c r="X7" s="18">
        <f t="shared" si="8"/>
        <v>9.157725401</v>
      </c>
      <c r="Y7" s="19">
        <v>4041671.0</v>
      </c>
      <c r="Z7" s="18">
        <f t="shared" si="9"/>
        <v>0.3476284933</v>
      </c>
      <c r="AA7" s="18">
        <f t="shared" si="10"/>
        <v>0.6141024344</v>
      </c>
    </row>
    <row r="8">
      <c r="A8" s="6" t="s">
        <v>28</v>
      </c>
      <c r="B8" s="21">
        <v>14.0</v>
      </c>
      <c r="C8" s="21">
        <v>5.0</v>
      </c>
      <c r="D8" s="21">
        <v>6.0</v>
      </c>
      <c r="E8" s="21">
        <v>8.0</v>
      </c>
      <c r="F8" s="21">
        <v>12.0</v>
      </c>
      <c r="G8" s="21">
        <v>9.0</v>
      </c>
      <c r="H8" s="21">
        <v>13.0</v>
      </c>
      <c r="I8" s="21">
        <v>76.0</v>
      </c>
      <c r="J8" s="21">
        <v>50.0</v>
      </c>
      <c r="K8" s="21">
        <v>19.0</v>
      </c>
      <c r="L8" s="21">
        <v>2.0</v>
      </c>
      <c r="M8" s="10">
        <f t="shared" si="1"/>
        <v>214</v>
      </c>
      <c r="N8" s="23">
        <v>247.0</v>
      </c>
      <c r="O8" s="10">
        <f t="shared" si="2"/>
        <v>33</v>
      </c>
      <c r="P8" s="23">
        <v>415.0</v>
      </c>
      <c r="Q8" s="10">
        <f t="shared" si="3"/>
        <v>168</v>
      </c>
      <c r="R8" s="15">
        <f t="shared" si="4"/>
        <v>0.5951807229</v>
      </c>
      <c r="S8" s="23">
        <v>876.0</v>
      </c>
      <c r="T8" s="16">
        <f t="shared" si="5"/>
        <v>461</v>
      </c>
      <c r="U8" s="17">
        <f t="shared" si="6"/>
        <v>1.110843373</v>
      </c>
      <c r="V8" s="23">
        <v>101329.0</v>
      </c>
      <c r="W8" s="18">
        <f t="shared" si="7"/>
        <v>4.095569876</v>
      </c>
      <c r="X8" s="18">
        <f t="shared" si="8"/>
        <v>8.645106534</v>
      </c>
      <c r="Y8" s="19">
        <v>1167804.0</v>
      </c>
      <c r="Z8" s="18">
        <f t="shared" si="9"/>
        <v>0.3553678528</v>
      </c>
      <c r="AA8" s="18">
        <f t="shared" si="10"/>
        <v>0.7501258773</v>
      </c>
    </row>
    <row r="9">
      <c r="A9" s="6" t="s">
        <v>32</v>
      </c>
      <c r="B9" s="23">
        <v>4.0</v>
      </c>
      <c r="C9" s="23">
        <v>1.0</v>
      </c>
      <c r="D9" s="23">
        <v>3.0</v>
      </c>
      <c r="E9" s="23">
        <v>5.0</v>
      </c>
      <c r="F9" s="23">
        <v>6.0</v>
      </c>
      <c r="G9" s="23">
        <v>3.0</v>
      </c>
      <c r="H9" s="23">
        <v>11.0</v>
      </c>
      <c r="I9" s="23">
        <v>25.0</v>
      </c>
      <c r="J9" s="23">
        <v>25.0</v>
      </c>
      <c r="K9" s="23">
        <v>10.0</v>
      </c>
      <c r="L9" s="23">
        <v>1.0</v>
      </c>
      <c r="M9" s="10">
        <f t="shared" si="1"/>
        <v>94</v>
      </c>
      <c r="N9" s="23">
        <v>87.0</v>
      </c>
      <c r="O9" s="10">
        <f t="shared" si="2"/>
        <v>-7</v>
      </c>
      <c r="P9" s="23">
        <v>123.0</v>
      </c>
      <c r="Q9" s="10">
        <f t="shared" si="3"/>
        <v>36</v>
      </c>
      <c r="R9" s="15">
        <f t="shared" si="4"/>
        <v>0.7073170732</v>
      </c>
      <c r="S9" s="23">
        <v>238.0</v>
      </c>
      <c r="T9" s="16">
        <f t="shared" si="5"/>
        <v>115</v>
      </c>
      <c r="U9" s="17">
        <f t="shared" si="6"/>
        <v>0.9349593496</v>
      </c>
      <c r="V9" s="23">
        <v>41314.0</v>
      </c>
      <c r="W9" s="18">
        <f t="shared" si="7"/>
        <v>2.977199012</v>
      </c>
      <c r="X9" s="18">
        <f t="shared" si="8"/>
        <v>5.760759065</v>
      </c>
      <c r="Y9" s="19">
        <v>324294.0</v>
      </c>
      <c r="Z9" s="18">
        <f t="shared" si="9"/>
        <v>0.3792854632</v>
      </c>
      <c r="AA9" s="18">
        <f t="shared" si="10"/>
        <v>0.7339019532</v>
      </c>
    </row>
    <row r="10">
      <c r="A10" s="6" t="s">
        <v>37</v>
      </c>
      <c r="B10" s="23">
        <v>11.0</v>
      </c>
      <c r="C10" s="23">
        <v>4.0</v>
      </c>
      <c r="D10" s="23">
        <v>7.0</v>
      </c>
      <c r="E10" s="23">
        <v>9.0</v>
      </c>
      <c r="F10" s="23">
        <v>8.0</v>
      </c>
      <c r="G10" s="23">
        <v>12.0</v>
      </c>
      <c r="H10" s="23">
        <v>14.0</v>
      </c>
      <c r="I10" s="23">
        <v>82.0</v>
      </c>
      <c r="J10" s="23">
        <v>46.0</v>
      </c>
      <c r="K10" s="23">
        <v>11.0</v>
      </c>
      <c r="L10" s="23">
        <v>3.0</v>
      </c>
      <c r="M10" s="10">
        <f t="shared" si="1"/>
        <v>207</v>
      </c>
      <c r="N10" s="23">
        <v>234.0</v>
      </c>
      <c r="O10" s="10">
        <f t="shared" si="2"/>
        <v>27</v>
      </c>
      <c r="P10" s="23">
        <v>304.0</v>
      </c>
      <c r="Q10" s="10">
        <f t="shared" si="3"/>
        <v>70</v>
      </c>
      <c r="R10" s="15">
        <f t="shared" si="4"/>
        <v>0.7697368421</v>
      </c>
      <c r="S10" s="23">
        <v>635.0</v>
      </c>
      <c r="T10" s="16">
        <f t="shared" si="5"/>
        <v>331</v>
      </c>
      <c r="U10" s="17">
        <f t="shared" si="6"/>
        <v>1.088815789</v>
      </c>
      <c r="V10" s="23">
        <v>113300.0</v>
      </c>
      <c r="W10" s="18">
        <f t="shared" si="7"/>
        <v>2.683142101</v>
      </c>
      <c r="X10" s="18">
        <f t="shared" si="8"/>
        <v>5.604589585</v>
      </c>
      <c r="Y10" s="19">
        <v>954883.0</v>
      </c>
      <c r="Z10" s="18">
        <f t="shared" si="9"/>
        <v>0.318363611</v>
      </c>
      <c r="AA10" s="18">
        <f t="shared" si="10"/>
        <v>0.6650029375</v>
      </c>
    </row>
    <row r="11">
      <c r="A11" s="6" t="s">
        <v>42</v>
      </c>
      <c r="B11" s="23">
        <v>39.0</v>
      </c>
      <c r="C11" s="23">
        <v>6.0</v>
      </c>
      <c r="D11" s="23">
        <v>12.0</v>
      </c>
      <c r="E11" s="23">
        <v>39.0</v>
      </c>
      <c r="F11" s="23">
        <v>40.0</v>
      </c>
      <c r="G11" s="23">
        <v>42.0</v>
      </c>
      <c r="H11" s="23">
        <v>53.0</v>
      </c>
      <c r="I11" s="23">
        <v>194.0</v>
      </c>
      <c r="J11" s="23">
        <v>84.0</v>
      </c>
      <c r="K11" s="23">
        <v>19.0</v>
      </c>
      <c r="L11" s="23">
        <v>8.0</v>
      </c>
      <c r="M11" s="10">
        <f t="shared" si="1"/>
        <v>536</v>
      </c>
      <c r="N11" s="23">
        <v>613.0</v>
      </c>
      <c r="O11" s="10">
        <f t="shared" si="2"/>
        <v>77</v>
      </c>
      <c r="P11" s="23">
        <v>706.0</v>
      </c>
      <c r="Q11" s="10">
        <f t="shared" si="3"/>
        <v>93</v>
      </c>
      <c r="R11" s="15">
        <f t="shared" si="4"/>
        <v>0.8682719547</v>
      </c>
      <c r="S11" s="23">
        <v>1217.0</v>
      </c>
      <c r="T11" s="16">
        <f t="shared" si="5"/>
        <v>511</v>
      </c>
      <c r="U11" s="17">
        <f t="shared" si="6"/>
        <v>0.723796034</v>
      </c>
      <c r="V11" s="23">
        <v>162565.0</v>
      </c>
      <c r="W11" s="18">
        <f t="shared" si="7"/>
        <v>4.342878233</v>
      </c>
      <c r="X11" s="18">
        <f t="shared" si="8"/>
        <v>7.486236275</v>
      </c>
      <c r="Y11" s="19">
        <v>1712501.0</v>
      </c>
      <c r="Z11" s="18">
        <f t="shared" si="9"/>
        <v>0.412262533</v>
      </c>
      <c r="AA11" s="18">
        <f t="shared" si="10"/>
        <v>0.7106565193</v>
      </c>
    </row>
    <row r="12">
      <c r="A12" s="6" t="s">
        <v>43</v>
      </c>
      <c r="B12" s="23">
        <v>3.0</v>
      </c>
      <c r="C12" s="23">
        <v>1.0</v>
      </c>
      <c r="D12" s="23">
        <v>3.0</v>
      </c>
      <c r="E12" s="23">
        <v>3.0</v>
      </c>
      <c r="F12" s="23">
        <v>6.0</v>
      </c>
      <c r="G12" s="23">
        <v>3.0</v>
      </c>
      <c r="H12" s="23">
        <v>6.0</v>
      </c>
      <c r="I12" s="23">
        <v>27.0</v>
      </c>
      <c r="J12" s="23">
        <v>22.0</v>
      </c>
      <c r="K12" s="23">
        <v>3.0</v>
      </c>
      <c r="L12" s="23">
        <v>1.0</v>
      </c>
      <c r="M12" s="10">
        <f t="shared" si="1"/>
        <v>78</v>
      </c>
      <c r="N12" s="23">
        <v>84.0</v>
      </c>
      <c r="O12" s="10">
        <f t="shared" si="2"/>
        <v>6</v>
      </c>
      <c r="P12" s="23">
        <v>116.0</v>
      </c>
      <c r="Q12" s="10">
        <f t="shared" si="3"/>
        <v>32</v>
      </c>
      <c r="R12" s="15">
        <f t="shared" si="4"/>
        <v>0.724137931</v>
      </c>
      <c r="S12" s="23">
        <v>243.0</v>
      </c>
      <c r="T12" s="16">
        <f t="shared" si="5"/>
        <v>127</v>
      </c>
      <c r="U12" s="17">
        <f t="shared" si="6"/>
        <v>1.094827586</v>
      </c>
      <c r="V12" s="23">
        <v>44502.0</v>
      </c>
      <c r="W12" s="18">
        <f t="shared" si="7"/>
        <v>2.606624421</v>
      </c>
      <c r="X12" s="18">
        <f t="shared" si="8"/>
        <v>5.460428745</v>
      </c>
      <c r="Y12" s="19">
        <v>374127.0</v>
      </c>
      <c r="Z12" s="18">
        <f t="shared" si="9"/>
        <v>0.3100551417</v>
      </c>
      <c r="AA12" s="18">
        <f t="shared" si="10"/>
        <v>0.6495120641</v>
      </c>
    </row>
    <row r="13">
      <c r="A13" s="6" t="s">
        <v>44</v>
      </c>
      <c r="B13" s="23">
        <v>2.0</v>
      </c>
      <c r="C13" s="23">
        <v>0.0</v>
      </c>
      <c r="D13" s="23">
        <v>1.0</v>
      </c>
      <c r="E13" s="23">
        <v>7.0</v>
      </c>
      <c r="F13" s="23">
        <v>7.0</v>
      </c>
      <c r="G13" s="23">
        <v>4.0</v>
      </c>
      <c r="H13" s="23">
        <v>3.0</v>
      </c>
      <c r="I13" s="23">
        <v>15.0</v>
      </c>
      <c r="J13" s="23">
        <v>8.0</v>
      </c>
      <c r="K13" s="23">
        <v>1.0</v>
      </c>
      <c r="L13" s="23">
        <v>0.0</v>
      </c>
      <c r="M13" s="10">
        <f t="shared" si="1"/>
        <v>48</v>
      </c>
      <c r="N13" s="23">
        <v>54.0</v>
      </c>
      <c r="O13" s="10">
        <f t="shared" si="2"/>
        <v>6</v>
      </c>
      <c r="P13" s="23">
        <v>70.0</v>
      </c>
      <c r="Q13" s="10">
        <f t="shared" si="3"/>
        <v>16</v>
      </c>
      <c r="R13" s="15">
        <f t="shared" si="4"/>
        <v>0.7714285714</v>
      </c>
      <c r="S13" s="23">
        <v>185.0</v>
      </c>
      <c r="T13" s="16">
        <f t="shared" si="5"/>
        <v>115</v>
      </c>
      <c r="U13" s="17">
        <f t="shared" si="6"/>
        <v>1.642857143</v>
      </c>
      <c r="V13" s="23">
        <v>23502.0</v>
      </c>
      <c r="W13" s="18">
        <f t="shared" si="7"/>
        <v>2.978469917</v>
      </c>
      <c r="X13" s="18">
        <f t="shared" si="8"/>
        <v>7.871670496</v>
      </c>
      <c r="Y13" s="19">
        <v>201729.0</v>
      </c>
      <c r="Z13" s="18">
        <f t="shared" si="9"/>
        <v>0.3470001834</v>
      </c>
      <c r="AA13" s="18">
        <f t="shared" si="10"/>
        <v>0.9170719133</v>
      </c>
    </row>
    <row r="14">
      <c r="A14" s="6" t="s">
        <v>45</v>
      </c>
      <c r="B14" s="23">
        <v>6.0</v>
      </c>
      <c r="C14" s="23">
        <v>1.0</v>
      </c>
      <c r="D14" s="23">
        <v>4.0</v>
      </c>
      <c r="E14" s="23">
        <v>7.0</v>
      </c>
      <c r="F14" s="23">
        <v>8.0</v>
      </c>
      <c r="G14" s="23">
        <v>5.0</v>
      </c>
      <c r="H14" s="23">
        <v>11.0</v>
      </c>
      <c r="I14" s="23">
        <v>31.0</v>
      </c>
      <c r="J14" s="23">
        <v>6.0</v>
      </c>
      <c r="K14" s="23">
        <v>4.0</v>
      </c>
      <c r="L14" s="23">
        <v>0.0</v>
      </c>
      <c r="M14" s="10">
        <f t="shared" si="1"/>
        <v>83</v>
      </c>
      <c r="N14" s="23">
        <v>101.0</v>
      </c>
      <c r="O14" s="10">
        <f t="shared" si="2"/>
        <v>18</v>
      </c>
      <c r="P14" s="23">
        <v>156.0</v>
      </c>
      <c r="Q14" s="10">
        <f t="shared" si="3"/>
        <v>55</v>
      </c>
      <c r="R14" s="15">
        <f t="shared" si="4"/>
        <v>0.6474358974</v>
      </c>
      <c r="S14" s="23">
        <v>335.0</v>
      </c>
      <c r="T14" s="16">
        <f t="shared" si="5"/>
        <v>179</v>
      </c>
      <c r="U14" s="17">
        <f t="shared" si="6"/>
        <v>1.147435897</v>
      </c>
      <c r="V14" s="23">
        <v>37328.0</v>
      </c>
      <c r="W14" s="18">
        <f t="shared" si="7"/>
        <v>4.179168453</v>
      </c>
      <c r="X14" s="18">
        <f t="shared" si="8"/>
        <v>8.974496357</v>
      </c>
      <c r="Y14" s="19">
        <v>273635.0</v>
      </c>
      <c r="Z14" s="18">
        <f t="shared" si="9"/>
        <v>0.5701025088</v>
      </c>
      <c r="AA14" s="18">
        <f t="shared" si="10"/>
        <v>1.224258593</v>
      </c>
    </row>
    <row r="15">
      <c r="A15" s="6" t="s">
        <v>46</v>
      </c>
      <c r="B15" s="23">
        <v>19.0</v>
      </c>
      <c r="C15" s="23">
        <v>4.0</v>
      </c>
      <c r="D15" s="23">
        <v>15.0</v>
      </c>
      <c r="E15" s="23">
        <v>25.0</v>
      </c>
      <c r="F15" s="23">
        <v>34.0</v>
      </c>
      <c r="G15" s="23">
        <v>22.0</v>
      </c>
      <c r="H15" s="23">
        <v>46.0</v>
      </c>
      <c r="I15" s="23">
        <v>117.0</v>
      </c>
      <c r="J15" s="23">
        <v>41.0</v>
      </c>
      <c r="K15" s="23">
        <v>13.0</v>
      </c>
      <c r="L15" s="23">
        <v>3.0</v>
      </c>
      <c r="M15" s="10">
        <f t="shared" si="1"/>
        <v>339</v>
      </c>
      <c r="N15" s="23">
        <v>394.0</v>
      </c>
      <c r="O15" s="10">
        <f t="shared" si="2"/>
        <v>55</v>
      </c>
      <c r="P15" s="23">
        <v>486.0</v>
      </c>
      <c r="Q15" s="10">
        <f t="shared" si="3"/>
        <v>92</v>
      </c>
      <c r="R15" s="15">
        <f t="shared" si="4"/>
        <v>0.8106995885</v>
      </c>
      <c r="S15" s="23">
        <v>974.0</v>
      </c>
      <c r="T15" s="16">
        <f t="shared" si="5"/>
        <v>488</v>
      </c>
      <c r="U15" s="17">
        <f t="shared" si="6"/>
        <v>1.004115226</v>
      </c>
      <c r="V15" s="23">
        <v>148771.0</v>
      </c>
      <c r="W15" s="18">
        <f t="shared" si="7"/>
        <v>3.2667657</v>
      </c>
      <c r="X15" s="18">
        <f t="shared" si="8"/>
        <v>6.546974881</v>
      </c>
      <c r="Y15" s="19">
        <v>1007072.0</v>
      </c>
      <c r="Z15" s="18">
        <f t="shared" si="9"/>
        <v>0.4825871437</v>
      </c>
      <c r="AA15" s="18">
        <f t="shared" si="10"/>
        <v>0.9671602428</v>
      </c>
    </row>
    <row r="16">
      <c r="A16" s="6" t="s">
        <v>47</v>
      </c>
      <c r="B16" s="23">
        <v>16.0</v>
      </c>
      <c r="C16" s="23">
        <v>3.0</v>
      </c>
      <c r="D16" s="23">
        <v>4.0</v>
      </c>
      <c r="E16" s="23">
        <v>22.0</v>
      </c>
      <c r="F16" s="23">
        <v>8.0</v>
      </c>
      <c r="G16" s="23">
        <v>11.0</v>
      </c>
      <c r="H16" s="23">
        <v>22.0</v>
      </c>
      <c r="I16" s="23">
        <v>45.0</v>
      </c>
      <c r="J16" s="23">
        <v>20.0</v>
      </c>
      <c r="K16" s="23">
        <v>5.0</v>
      </c>
      <c r="L16" s="23">
        <v>1.0</v>
      </c>
      <c r="M16" s="10">
        <f t="shared" si="1"/>
        <v>157</v>
      </c>
      <c r="N16" s="23">
        <v>175.0</v>
      </c>
      <c r="O16" s="10">
        <f t="shared" si="2"/>
        <v>18</v>
      </c>
      <c r="P16" s="23">
        <v>252.0</v>
      </c>
      <c r="Q16" s="10">
        <f t="shared" si="3"/>
        <v>77</v>
      </c>
      <c r="R16" s="15">
        <f t="shared" si="4"/>
        <v>0.6944444444</v>
      </c>
      <c r="S16" s="23">
        <v>553.0</v>
      </c>
      <c r="T16" s="16">
        <f t="shared" si="5"/>
        <v>301</v>
      </c>
      <c r="U16" s="17">
        <f t="shared" si="6"/>
        <v>1.194444444</v>
      </c>
      <c r="V16" s="23">
        <v>107878.0</v>
      </c>
      <c r="W16" s="18">
        <f t="shared" si="7"/>
        <v>2.335972117</v>
      </c>
      <c r="X16" s="18">
        <f t="shared" si="8"/>
        <v>5.126161034</v>
      </c>
      <c r="Y16" s="19">
        <v>695119.0</v>
      </c>
      <c r="Z16" s="18">
        <f t="shared" si="9"/>
        <v>0.3625278549</v>
      </c>
      <c r="AA16" s="18">
        <f t="shared" si="10"/>
        <v>0.7955472372</v>
      </c>
    </row>
    <row r="17">
      <c r="A17" s="6" t="s">
        <v>48</v>
      </c>
      <c r="B17" s="23">
        <v>1.0</v>
      </c>
      <c r="C17" s="23">
        <v>0.0</v>
      </c>
      <c r="D17" s="23">
        <v>0.0</v>
      </c>
      <c r="E17" s="23">
        <v>2.0</v>
      </c>
      <c r="F17" s="23">
        <v>2.0</v>
      </c>
      <c r="G17" s="23">
        <v>0.0</v>
      </c>
      <c r="H17" s="23">
        <v>2.0</v>
      </c>
      <c r="I17" s="23">
        <v>4.0</v>
      </c>
      <c r="J17" s="23">
        <v>0.0</v>
      </c>
      <c r="K17" s="23">
        <v>2.0</v>
      </c>
      <c r="L17" s="23">
        <v>0.0</v>
      </c>
      <c r="M17" s="10">
        <f t="shared" si="1"/>
        <v>13</v>
      </c>
      <c r="N17" s="23">
        <v>14.0</v>
      </c>
      <c r="O17" s="10">
        <f t="shared" si="2"/>
        <v>1</v>
      </c>
      <c r="P17" s="23">
        <v>21.0</v>
      </c>
      <c r="Q17" s="10">
        <f t="shared" si="3"/>
        <v>7</v>
      </c>
      <c r="R17" s="15">
        <f t="shared" si="4"/>
        <v>0.6666666667</v>
      </c>
      <c r="S17" s="23">
        <v>62.0</v>
      </c>
      <c r="T17" s="16">
        <f t="shared" si="5"/>
        <v>41</v>
      </c>
      <c r="U17" s="17">
        <f t="shared" si="6"/>
        <v>1.952380952</v>
      </c>
      <c r="V17" s="23">
        <v>7946.0</v>
      </c>
      <c r="W17" s="18">
        <f t="shared" si="7"/>
        <v>2.642839164</v>
      </c>
      <c r="X17" s="18">
        <f t="shared" si="8"/>
        <v>7.802668009</v>
      </c>
      <c r="Y17" s="19">
        <v>45546.0</v>
      </c>
      <c r="Z17" s="18">
        <f t="shared" si="9"/>
        <v>0.4610723225</v>
      </c>
      <c r="AA17" s="18">
        <f t="shared" si="10"/>
        <v>1.361261143</v>
      </c>
    </row>
    <row r="18">
      <c r="A18" s="6" t="s">
        <v>49</v>
      </c>
      <c r="B18" s="23">
        <v>3.0</v>
      </c>
      <c r="C18" s="23">
        <v>2.0</v>
      </c>
      <c r="D18" s="23">
        <v>1.0</v>
      </c>
      <c r="E18" s="23">
        <v>3.0</v>
      </c>
      <c r="F18" s="23">
        <v>1.0</v>
      </c>
      <c r="G18" s="23">
        <v>6.0</v>
      </c>
      <c r="H18" s="23">
        <v>3.0</v>
      </c>
      <c r="I18" s="23">
        <v>3.0</v>
      </c>
      <c r="J18" s="23">
        <v>2.0</v>
      </c>
      <c r="K18" s="23">
        <v>0.0</v>
      </c>
      <c r="L18" s="23">
        <v>1.0</v>
      </c>
      <c r="M18" s="10">
        <f t="shared" si="1"/>
        <v>25</v>
      </c>
      <c r="N18" s="23">
        <v>30.0</v>
      </c>
      <c r="O18" s="10">
        <f t="shared" si="2"/>
        <v>5</v>
      </c>
      <c r="P18" s="23">
        <v>43.0</v>
      </c>
      <c r="Q18" s="10">
        <f t="shared" si="3"/>
        <v>13</v>
      </c>
      <c r="R18" s="15">
        <f t="shared" si="4"/>
        <v>0.6976744186</v>
      </c>
      <c r="S18" s="23">
        <v>98.0</v>
      </c>
      <c r="T18" s="16">
        <f t="shared" si="5"/>
        <v>55</v>
      </c>
      <c r="U18" s="17">
        <f t="shared" si="6"/>
        <v>1.279069767</v>
      </c>
      <c r="V18" s="23">
        <v>13597.0</v>
      </c>
      <c r="W18" s="18">
        <f t="shared" si="7"/>
        <v>3.162462308</v>
      </c>
      <c r="X18" s="18">
        <f t="shared" si="8"/>
        <v>7.207472237</v>
      </c>
      <c r="Y18" s="19">
        <v>83420.0</v>
      </c>
      <c r="Z18" s="18">
        <f t="shared" si="9"/>
        <v>0.5154639175</v>
      </c>
      <c r="AA18" s="18">
        <f t="shared" si="10"/>
        <v>1.174778231</v>
      </c>
    </row>
    <row r="19">
      <c r="A19" s="6" t="s">
        <v>50</v>
      </c>
      <c r="B19" s="23">
        <v>7.0</v>
      </c>
      <c r="C19" s="23">
        <v>2.0</v>
      </c>
      <c r="D19" s="23">
        <v>3.0</v>
      </c>
      <c r="E19" s="23">
        <v>8.0</v>
      </c>
      <c r="F19" s="23">
        <v>6.0</v>
      </c>
      <c r="G19" s="23">
        <v>3.0</v>
      </c>
      <c r="H19" s="23">
        <v>9.0</v>
      </c>
      <c r="I19" s="23">
        <v>19.0</v>
      </c>
      <c r="J19" s="23">
        <v>9.0</v>
      </c>
      <c r="K19" s="23">
        <v>0.0</v>
      </c>
      <c r="L19" s="23">
        <v>0.0</v>
      </c>
      <c r="M19" s="10">
        <f t="shared" si="1"/>
        <v>66</v>
      </c>
      <c r="N19" s="23">
        <v>84.0</v>
      </c>
      <c r="O19" s="10">
        <f t="shared" si="2"/>
        <v>18</v>
      </c>
      <c r="P19" s="23">
        <v>124.0</v>
      </c>
      <c r="Q19" s="10">
        <f t="shared" si="3"/>
        <v>40</v>
      </c>
      <c r="R19" s="15">
        <f t="shared" si="4"/>
        <v>0.6774193548</v>
      </c>
      <c r="S19" s="23">
        <v>315.0</v>
      </c>
      <c r="T19" s="16">
        <f t="shared" si="5"/>
        <v>191</v>
      </c>
      <c r="U19" s="17">
        <f t="shared" si="6"/>
        <v>1.540322581</v>
      </c>
      <c r="V19" s="23">
        <v>44989.0</v>
      </c>
      <c r="W19" s="18">
        <f t="shared" si="7"/>
        <v>2.7562293</v>
      </c>
      <c r="X19" s="18">
        <f t="shared" si="8"/>
        <v>7.001711529</v>
      </c>
      <c r="Y19" s="19">
        <v>222886.0</v>
      </c>
      <c r="Z19" s="18">
        <f t="shared" si="9"/>
        <v>0.5563382177</v>
      </c>
      <c r="AA19" s="18">
        <f t="shared" si="10"/>
        <v>1.413278537</v>
      </c>
    </row>
    <row r="20">
      <c r="A20" s="6" t="s">
        <v>51</v>
      </c>
      <c r="B20" s="23">
        <v>10.0</v>
      </c>
      <c r="C20" s="23">
        <v>3.0</v>
      </c>
      <c r="D20" s="23">
        <v>8.0</v>
      </c>
      <c r="E20" s="23">
        <v>14.0</v>
      </c>
      <c r="F20" s="23">
        <v>16.0</v>
      </c>
      <c r="G20" s="23">
        <v>10.0</v>
      </c>
      <c r="H20" s="23">
        <v>25.0</v>
      </c>
      <c r="I20" s="23">
        <v>46.0</v>
      </c>
      <c r="J20" s="23">
        <v>17.0</v>
      </c>
      <c r="K20" s="23">
        <v>7.0</v>
      </c>
      <c r="L20" s="23">
        <v>2.0</v>
      </c>
      <c r="M20" s="10">
        <f t="shared" si="1"/>
        <v>158</v>
      </c>
      <c r="N20" s="23">
        <v>196.0</v>
      </c>
      <c r="O20" s="10">
        <f t="shared" si="2"/>
        <v>38</v>
      </c>
      <c r="P20" s="23">
        <v>277.0</v>
      </c>
      <c r="Q20" s="10">
        <f t="shared" si="3"/>
        <v>81</v>
      </c>
      <c r="R20" s="15">
        <f t="shared" si="4"/>
        <v>0.7075812274</v>
      </c>
      <c r="S20" s="23">
        <v>644.0</v>
      </c>
      <c r="T20" s="16">
        <f t="shared" si="5"/>
        <v>367</v>
      </c>
      <c r="U20" s="17">
        <f t="shared" si="6"/>
        <v>1.324909747</v>
      </c>
      <c r="V20" s="23">
        <v>116505.0</v>
      </c>
      <c r="W20" s="18">
        <f t="shared" si="7"/>
        <v>2.377580361</v>
      </c>
      <c r="X20" s="18">
        <f t="shared" si="8"/>
        <v>5.527659757</v>
      </c>
      <c r="Y20" s="19">
        <v>666163.0</v>
      </c>
      <c r="Z20" s="18">
        <f t="shared" si="9"/>
        <v>0.4158141476</v>
      </c>
      <c r="AA20" s="18">
        <f t="shared" si="10"/>
        <v>0.9667303648</v>
      </c>
    </row>
    <row r="21">
      <c r="A21" s="6" t="s">
        <v>52</v>
      </c>
      <c r="B21" s="23">
        <v>5.0</v>
      </c>
      <c r="C21" s="23">
        <v>1.0</v>
      </c>
      <c r="D21" s="23">
        <v>5.0</v>
      </c>
      <c r="E21" s="23">
        <v>2.0</v>
      </c>
      <c r="F21" s="23">
        <v>5.0</v>
      </c>
      <c r="G21" s="23">
        <v>6.0</v>
      </c>
      <c r="H21" s="23">
        <v>7.0</v>
      </c>
      <c r="I21" s="23">
        <v>28.0</v>
      </c>
      <c r="J21" s="23">
        <v>6.0</v>
      </c>
      <c r="K21" s="23">
        <v>0.0</v>
      </c>
      <c r="L21" s="23">
        <v>0.0</v>
      </c>
      <c r="M21" s="10">
        <f t="shared" si="1"/>
        <v>65</v>
      </c>
      <c r="N21" s="23">
        <v>75.0</v>
      </c>
      <c r="O21" s="10">
        <f t="shared" si="2"/>
        <v>10</v>
      </c>
      <c r="P21" s="23">
        <v>100.0</v>
      </c>
      <c r="Q21" s="10">
        <f t="shared" si="3"/>
        <v>25</v>
      </c>
      <c r="R21" s="15">
        <f t="shared" si="4"/>
        <v>0.75</v>
      </c>
      <c r="S21" s="23">
        <v>237.0</v>
      </c>
      <c r="T21" s="16">
        <f t="shared" si="5"/>
        <v>137</v>
      </c>
      <c r="U21" s="17">
        <f t="shared" si="6"/>
        <v>1.37</v>
      </c>
      <c r="V21" s="23">
        <v>42920.0</v>
      </c>
      <c r="W21" s="18">
        <f t="shared" si="7"/>
        <v>2.329916123</v>
      </c>
      <c r="X21" s="18">
        <f t="shared" si="8"/>
        <v>5.521901212</v>
      </c>
      <c r="Y21" s="19">
        <v>259251.0</v>
      </c>
      <c r="Z21" s="18">
        <f t="shared" si="9"/>
        <v>0.3857265739</v>
      </c>
      <c r="AA21" s="18">
        <f t="shared" si="10"/>
        <v>0.9141719801</v>
      </c>
    </row>
    <row r="22">
      <c r="A22" s="6" t="s">
        <v>53</v>
      </c>
      <c r="B22" s="23">
        <v>0.0</v>
      </c>
      <c r="C22" s="23">
        <v>0.0</v>
      </c>
      <c r="D22" s="23">
        <v>0.0</v>
      </c>
      <c r="E22" s="23">
        <v>0.0</v>
      </c>
      <c r="F22" s="23">
        <v>0.0</v>
      </c>
      <c r="G22" s="23">
        <v>0.0</v>
      </c>
      <c r="H22" s="23">
        <v>1.0</v>
      </c>
      <c r="I22" s="23">
        <v>1.0</v>
      </c>
      <c r="J22" s="23">
        <v>0.0</v>
      </c>
      <c r="K22" s="23">
        <v>1.0</v>
      </c>
      <c r="L22" s="23">
        <v>0.0</v>
      </c>
      <c r="M22" s="10">
        <f t="shared" si="1"/>
        <v>3</v>
      </c>
      <c r="N22" s="23">
        <v>5.0</v>
      </c>
      <c r="O22" s="10">
        <f t="shared" si="2"/>
        <v>2</v>
      </c>
      <c r="P22" s="23">
        <v>11.0</v>
      </c>
      <c r="Q22" s="10">
        <f t="shared" si="3"/>
        <v>6</v>
      </c>
      <c r="R22" s="15">
        <f t="shared" si="4"/>
        <v>0.4545454545</v>
      </c>
      <c r="S22" s="23">
        <v>27.0</v>
      </c>
      <c r="T22" s="16">
        <f t="shared" si="5"/>
        <v>16</v>
      </c>
      <c r="U22" s="17">
        <f t="shared" si="6"/>
        <v>1.454545455</v>
      </c>
      <c r="V22" s="23">
        <v>4049.0</v>
      </c>
      <c r="W22" s="18">
        <f t="shared" si="7"/>
        <v>2.716720178</v>
      </c>
      <c r="X22" s="18">
        <f t="shared" si="8"/>
        <v>6.668313164</v>
      </c>
      <c r="Y22" s="19">
        <v>30826.0</v>
      </c>
      <c r="Z22" s="18">
        <f t="shared" si="9"/>
        <v>0.3568416272</v>
      </c>
      <c r="AA22" s="18">
        <f t="shared" si="10"/>
        <v>0.875883994</v>
      </c>
    </row>
    <row r="23">
      <c r="A23" s="20" t="s">
        <v>54</v>
      </c>
      <c r="B23" s="22">
        <f t="shared" ref="B23:Q23" si="11">SUM(B3:B22)</f>
        <v>222</v>
      </c>
      <c r="C23" s="22">
        <f t="shared" si="11"/>
        <v>46</v>
      </c>
      <c r="D23" s="22">
        <f t="shared" si="11"/>
        <v>101</v>
      </c>
      <c r="E23" s="22">
        <f t="shared" si="11"/>
        <v>238</v>
      </c>
      <c r="F23" s="22">
        <f t="shared" si="11"/>
        <v>233</v>
      </c>
      <c r="G23" s="22">
        <f t="shared" si="11"/>
        <v>199</v>
      </c>
      <c r="H23" s="22">
        <f t="shared" si="11"/>
        <v>355</v>
      </c>
      <c r="I23" s="22">
        <f t="shared" si="11"/>
        <v>1274</v>
      </c>
      <c r="J23" s="22">
        <f t="shared" si="11"/>
        <v>720</v>
      </c>
      <c r="K23" s="22">
        <f t="shared" si="11"/>
        <v>245</v>
      </c>
      <c r="L23" s="22">
        <f t="shared" si="11"/>
        <v>48</v>
      </c>
      <c r="M23" s="22">
        <f t="shared" si="11"/>
        <v>3681</v>
      </c>
      <c r="N23" s="22">
        <f t="shared" si="11"/>
        <v>4193</v>
      </c>
      <c r="O23" s="22">
        <f t="shared" si="11"/>
        <v>512</v>
      </c>
      <c r="P23" s="22">
        <f t="shared" si="11"/>
        <v>5692</v>
      </c>
      <c r="Q23" s="22">
        <f t="shared" si="11"/>
        <v>1499</v>
      </c>
      <c r="R23" s="24">
        <f>AVERAGE(R3:R22)</f>
        <v>0.7036107517</v>
      </c>
      <c r="S23" s="22">
        <f t="shared" ref="S23:U23" si="12">SUM(S3:S22)</f>
        <v>11274</v>
      </c>
      <c r="T23" s="25">
        <f t="shared" si="12"/>
        <v>5582</v>
      </c>
      <c r="U23" s="24">
        <f t="shared" si="12"/>
        <v>23.72035715</v>
      </c>
      <c r="V23" s="26"/>
      <c r="W23" s="26" t="str">
        <f>IF(OR(P23="",V23=""),"",P23/V23*1000)</f>
        <v/>
      </c>
      <c r="X23" s="26"/>
      <c r="Y23" s="26"/>
      <c r="Z23" s="18" t="str">
        <f t="shared" si="9"/>
        <v>#DIV/0!</v>
      </c>
      <c r="AA23" s="18" t="str">
        <f t="shared" si="10"/>
        <v>#DIV/0!</v>
      </c>
    </row>
    <row r="25">
      <c r="P25" s="27" t="s">
        <v>55</v>
      </c>
      <c r="Q25" s="27">
        <v>969.0</v>
      </c>
    </row>
    <row r="30">
      <c r="B30" s="28">
        <f t="shared" ref="B30:B36" si="14">B8</f>
        <v>14</v>
      </c>
      <c r="C30" s="28">
        <f t="shared" ref="C30:L30" si="13">C8-B8</f>
        <v>-9</v>
      </c>
      <c r="D30" s="28">
        <f t="shared" si="13"/>
        <v>1</v>
      </c>
      <c r="E30" s="28">
        <f t="shared" si="13"/>
        <v>2</v>
      </c>
      <c r="F30" s="28">
        <f t="shared" si="13"/>
        <v>4</v>
      </c>
      <c r="G30" s="28">
        <f t="shared" si="13"/>
        <v>-3</v>
      </c>
      <c r="H30" s="28">
        <f t="shared" si="13"/>
        <v>4</v>
      </c>
      <c r="I30" s="28">
        <f t="shared" si="13"/>
        <v>63</v>
      </c>
      <c r="J30" s="28">
        <f t="shared" si="13"/>
        <v>-26</v>
      </c>
      <c r="K30" s="28">
        <f t="shared" si="13"/>
        <v>-31</v>
      </c>
      <c r="L30" s="28">
        <f t="shared" si="13"/>
        <v>-17</v>
      </c>
    </row>
    <row r="31">
      <c r="B31" s="28">
        <f t="shared" si="14"/>
        <v>4</v>
      </c>
      <c r="C31" s="28">
        <f t="shared" ref="C31:L31" si="15">C9-B9</f>
        <v>-3</v>
      </c>
      <c r="D31" s="28">
        <f t="shared" si="15"/>
        <v>2</v>
      </c>
      <c r="E31" s="28">
        <f t="shared" si="15"/>
        <v>2</v>
      </c>
      <c r="F31" s="28">
        <f t="shared" si="15"/>
        <v>1</v>
      </c>
      <c r="G31" s="28">
        <f t="shared" si="15"/>
        <v>-3</v>
      </c>
      <c r="H31" s="28">
        <f t="shared" si="15"/>
        <v>8</v>
      </c>
      <c r="I31" s="28">
        <f t="shared" si="15"/>
        <v>14</v>
      </c>
      <c r="J31" s="28">
        <f t="shared" si="15"/>
        <v>0</v>
      </c>
      <c r="K31" s="28">
        <f t="shared" si="15"/>
        <v>-15</v>
      </c>
      <c r="L31" s="28">
        <f t="shared" si="15"/>
        <v>-9</v>
      </c>
    </row>
    <row r="32">
      <c r="B32" s="28">
        <f t="shared" si="14"/>
        <v>11</v>
      </c>
      <c r="C32" s="28">
        <f t="shared" ref="C32:L32" si="16">C10-B10</f>
        <v>-7</v>
      </c>
      <c r="D32" s="28">
        <f t="shared" si="16"/>
        <v>3</v>
      </c>
      <c r="E32" s="28">
        <f t="shared" si="16"/>
        <v>2</v>
      </c>
      <c r="F32" s="28">
        <f t="shared" si="16"/>
        <v>-1</v>
      </c>
      <c r="G32" s="28">
        <f t="shared" si="16"/>
        <v>4</v>
      </c>
      <c r="H32" s="28">
        <f t="shared" si="16"/>
        <v>2</v>
      </c>
      <c r="I32" s="28">
        <f t="shared" si="16"/>
        <v>68</v>
      </c>
      <c r="J32" s="28">
        <f t="shared" si="16"/>
        <v>-36</v>
      </c>
      <c r="K32" s="28">
        <f t="shared" si="16"/>
        <v>-35</v>
      </c>
      <c r="L32" s="28">
        <f t="shared" si="16"/>
        <v>-8</v>
      </c>
    </row>
    <row r="33">
      <c r="B33" s="28">
        <f t="shared" si="14"/>
        <v>39</v>
      </c>
      <c r="C33" s="28">
        <f t="shared" ref="C33:L33" si="17">C11-B11</f>
        <v>-33</v>
      </c>
      <c r="D33" s="28">
        <f t="shared" si="17"/>
        <v>6</v>
      </c>
      <c r="E33" s="28">
        <f t="shared" si="17"/>
        <v>27</v>
      </c>
      <c r="F33" s="28">
        <f t="shared" si="17"/>
        <v>1</v>
      </c>
      <c r="G33" s="28">
        <f t="shared" si="17"/>
        <v>2</v>
      </c>
      <c r="H33" s="28">
        <f t="shared" si="17"/>
        <v>11</v>
      </c>
      <c r="I33" s="28">
        <f t="shared" si="17"/>
        <v>141</v>
      </c>
      <c r="J33" s="28">
        <f t="shared" si="17"/>
        <v>-110</v>
      </c>
      <c r="K33" s="28">
        <f t="shared" si="17"/>
        <v>-65</v>
      </c>
      <c r="L33" s="28">
        <f t="shared" si="17"/>
        <v>-11</v>
      </c>
    </row>
    <row r="34">
      <c r="B34" s="28">
        <f t="shared" si="14"/>
        <v>3</v>
      </c>
      <c r="C34" s="28">
        <f t="shared" ref="C34:L34" si="18">C12-B12</f>
        <v>-2</v>
      </c>
      <c r="D34" s="28">
        <f t="shared" si="18"/>
        <v>2</v>
      </c>
      <c r="E34" s="28">
        <f t="shared" si="18"/>
        <v>0</v>
      </c>
      <c r="F34" s="28">
        <f t="shared" si="18"/>
        <v>3</v>
      </c>
      <c r="G34" s="28">
        <f t="shared" si="18"/>
        <v>-3</v>
      </c>
      <c r="H34" s="28">
        <f t="shared" si="18"/>
        <v>3</v>
      </c>
      <c r="I34" s="28">
        <f t="shared" si="18"/>
        <v>21</v>
      </c>
      <c r="J34" s="28">
        <f t="shared" si="18"/>
        <v>-5</v>
      </c>
      <c r="K34" s="28">
        <f t="shared" si="18"/>
        <v>-19</v>
      </c>
      <c r="L34" s="28">
        <f t="shared" si="18"/>
        <v>-2</v>
      </c>
    </row>
    <row r="35">
      <c r="B35" s="28">
        <f t="shared" si="14"/>
        <v>2</v>
      </c>
      <c r="C35" s="28">
        <f t="shared" ref="C35:L35" si="19">C13-B13</f>
        <v>-2</v>
      </c>
      <c r="D35" s="28">
        <f t="shared" si="19"/>
        <v>1</v>
      </c>
      <c r="E35" s="28">
        <f t="shared" si="19"/>
        <v>6</v>
      </c>
      <c r="F35" s="28">
        <f t="shared" si="19"/>
        <v>0</v>
      </c>
      <c r="G35" s="28">
        <f t="shared" si="19"/>
        <v>-3</v>
      </c>
      <c r="H35" s="28">
        <f t="shared" si="19"/>
        <v>-1</v>
      </c>
      <c r="I35" s="28">
        <f t="shared" si="19"/>
        <v>12</v>
      </c>
      <c r="J35" s="28">
        <f t="shared" si="19"/>
        <v>-7</v>
      </c>
      <c r="K35" s="28">
        <f t="shared" si="19"/>
        <v>-7</v>
      </c>
      <c r="L35" s="28">
        <f t="shared" si="19"/>
        <v>-1</v>
      </c>
    </row>
    <row r="36">
      <c r="B36" s="28">
        <f t="shared" si="14"/>
        <v>6</v>
      </c>
      <c r="C36" s="28">
        <f t="shared" ref="C36:L36" si="20">C14-B14</f>
        <v>-5</v>
      </c>
      <c r="D36" s="28">
        <f t="shared" si="20"/>
        <v>3</v>
      </c>
      <c r="E36" s="28">
        <f t="shared" si="20"/>
        <v>3</v>
      </c>
      <c r="F36" s="28">
        <f t="shared" si="20"/>
        <v>1</v>
      </c>
      <c r="G36" s="28">
        <f t="shared" si="20"/>
        <v>-3</v>
      </c>
      <c r="H36" s="28">
        <f t="shared" si="20"/>
        <v>6</v>
      </c>
      <c r="I36" s="28">
        <f t="shared" si="20"/>
        <v>20</v>
      </c>
      <c r="J36" s="28">
        <f t="shared" si="20"/>
        <v>-25</v>
      </c>
      <c r="K36" s="28">
        <f t="shared" si="20"/>
        <v>-2</v>
      </c>
      <c r="L36" s="28">
        <f t="shared" si="20"/>
        <v>-4</v>
      </c>
    </row>
  </sheetData>
  <mergeCells count="2">
    <mergeCell ref="B1:L1"/>
    <mergeCell ref="M1:X1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1.13"/>
    <col customWidth="1" min="3" max="3" width="19.25"/>
    <col customWidth="1" min="4" max="4" width="19.63"/>
  </cols>
  <sheetData>
    <row r="1">
      <c r="A1" s="2" t="s">
        <v>0</v>
      </c>
      <c r="B1" s="3"/>
      <c r="C1" s="3"/>
      <c r="D1" s="4"/>
    </row>
    <row r="2">
      <c r="A2" s="5" t="s">
        <v>2</v>
      </c>
      <c r="B2" s="5" t="s">
        <v>4</v>
      </c>
      <c r="C2" s="5" t="s">
        <v>5</v>
      </c>
      <c r="D2" s="5" t="s">
        <v>6</v>
      </c>
    </row>
    <row r="3">
      <c r="A3" s="6" t="s">
        <v>7</v>
      </c>
      <c r="B3" s="8"/>
      <c r="C3" s="8"/>
      <c r="D3" s="10" t="s">
        <v>8</v>
      </c>
    </row>
    <row r="4">
      <c r="A4" s="6" t="s">
        <v>11</v>
      </c>
      <c r="B4" s="8"/>
      <c r="C4" s="8"/>
      <c r="D4" s="10" t="s">
        <v>8</v>
      </c>
    </row>
    <row r="5">
      <c r="A5" s="6" t="s">
        <v>16</v>
      </c>
      <c r="B5" s="8"/>
      <c r="C5" s="8"/>
      <c r="D5" s="11"/>
    </row>
    <row r="6">
      <c r="A6" s="6" t="s">
        <v>22</v>
      </c>
      <c r="B6" s="8"/>
      <c r="C6" s="8"/>
      <c r="D6" s="11"/>
    </row>
    <row r="7">
      <c r="A7" s="6" t="s">
        <v>25</v>
      </c>
      <c r="B7" s="8"/>
      <c r="C7" s="8"/>
      <c r="D7" s="11"/>
    </row>
    <row r="8">
      <c r="A8" s="6" t="s">
        <v>28</v>
      </c>
      <c r="B8" s="8"/>
      <c r="C8" s="8"/>
      <c r="D8" s="11"/>
    </row>
    <row r="9">
      <c r="A9" s="6" t="s">
        <v>32</v>
      </c>
      <c r="B9" s="8"/>
      <c r="C9" s="8"/>
      <c r="D9" s="11"/>
    </row>
    <row r="10">
      <c r="A10" s="6" t="s">
        <v>37</v>
      </c>
      <c r="B10" s="8"/>
      <c r="C10" s="8"/>
      <c r="D10" s="11"/>
    </row>
    <row r="11">
      <c r="A11" s="6" t="s">
        <v>42</v>
      </c>
      <c r="B11" s="8"/>
      <c r="C11" s="8"/>
      <c r="D11" s="11"/>
    </row>
    <row r="12">
      <c r="A12" s="6" t="s">
        <v>43</v>
      </c>
      <c r="B12" s="8"/>
      <c r="C12" s="8"/>
      <c r="D12" s="11"/>
    </row>
    <row r="13">
      <c r="A13" s="6" t="s">
        <v>44</v>
      </c>
      <c r="B13" s="8"/>
      <c r="C13" s="8"/>
      <c r="D13" s="11"/>
    </row>
    <row r="14">
      <c r="A14" s="6" t="s">
        <v>45</v>
      </c>
      <c r="B14" s="8"/>
      <c r="C14" s="8"/>
      <c r="D14" s="11"/>
    </row>
    <row r="15">
      <c r="A15" s="6" t="s">
        <v>46</v>
      </c>
      <c r="B15" s="8"/>
      <c r="C15" s="8"/>
      <c r="D15" s="11"/>
    </row>
    <row r="16">
      <c r="A16" s="6" t="s">
        <v>47</v>
      </c>
      <c r="B16" s="8"/>
      <c r="C16" s="8"/>
      <c r="D16" s="11"/>
    </row>
    <row r="17">
      <c r="A17" s="6" t="s">
        <v>48</v>
      </c>
      <c r="B17" s="8"/>
      <c r="C17" s="8"/>
      <c r="D17" s="11"/>
    </row>
    <row r="18">
      <c r="A18" s="6" t="s">
        <v>49</v>
      </c>
      <c r="B18" s="8"/>
      <c r="C18" s="8"/>
      <c r="D18" s="11"/>
    </row>
    <row r="19">
      <c r="A19" s="6" t="s">
        <v>50</v>
      </c>
      <c r="B19" s="8"/>
      <c r="C19" s="8"/>
      <c r="D19" s="11"/>
    </row>
    <row r="20">
      <c r="A20" s="6" t="s">
        <v>51</v>
      </c>
      <c r="B20" s="8"/>
      <c r="C20" s="8"/>
      <c r="D20" s="11"/>
    </row>
    <row r="21">
      <c r="A21" s="6" t="s">
        <v>52</v>
      </c>
      <c r="B21" s="8"/>
      <c r="C21" s="8"/>
      <c r="D21" s="11"/>
    </row>
    <row r="22">
      <c r="A22" s="6" t="s">
        <v>53</v>
      </c>
      <c r="B22" s="8"/>
      <c r="C22" s="8"/>
      <c r="D22" s="11"/>
    </row>
    <row r="23">
      <c r="A23" s="20" t="s">
        <v>54</v>
      </c>
      <c r="B23" s="22">
        <v>0.0</v>
      </c>
      <c r="C23" s="22">
        <v>0.0</v>
      </c>
      <c r="D23" s="22" t="s">
        <v>8</v>
      </c>
    </row>
  </sheetData>
  <mergeCells count="1">
    <mergeCell ref="A1:D1"/>
  </mergeCells>
  <drawing r:id="rId1"/>
</worksheet>
</file>